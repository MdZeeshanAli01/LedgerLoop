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ase" sheetId="1" state="visible" r:id="rId1"/>
    <sheet xmlns:r="http://schemas.openxmlformats.org/officeDocument/2006/relationships" name="AWS TCO" sheetId="2" state="visible" r:id="rId2"/>
    <sheet xmlns:r="http://schemas.openxmlformats.org/officeDocument/2006/relationships" name="30-Day GTM Spr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8A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3" borderId="0" pivotButton="0" quotePrefix="0" xfId="0"/>
    <xf numFmtId="0" fontId="6" fillId="4" borderId="1" pivotButton="0" quotePrefix="0" xfId="0"/>
    <xf numFmtId="0" fontId="6" fillId="0" borderId="1" pivotButton="0" quotePrefix="0" xfId="0"/>
    <xf numFmtId="0" fontId="2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166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62" customWidth="1" min="2" max="2"/>
    <col width="22" customWidth="1" min="3" max="3"/>
    <col width="33" customWidth="1" min="4" max="4"/>
    <col width="28" customWidth="1" min="5" max="5"/>
    <col width="29" customWidth="1" min="6" max="6"/>
    <col width="12" customWidth="1" min="7" max="7"/>
    <col width="16" customWidth="1" min="8" max="8"/>
  </cols>
  <sheetData>
    <row r="1">
      <c r="A1" s="1" t="inlineStr">
        <is>
          <t>Hisaabset (LedgerLoop) — Unit Economics &amp; SaaS Pricing Model</t>
        </is>
      </c>
    </row>
    <row r="2">
      <c r="A2" s="2" t="inlineStr">
        <is>
          <t>FyndHacks 2026 — Track C28 (Editable Calculations, Sources &amp; Assumptions)</t>
        </is>
      </c>
    </row>
    <row r="3"/>
    <row r="4">
      <c r="A4" s="3" t="inlineStr">
        <is>
          <t>Tier Plan</t>
        </is>
      </c>
      <c r="B4" s="3" t="inlineStr">
        <is>
          <t>Billing Cadence</t>
        </is>
      </c>
      <c r="C4" s="4" t="inlineStr">
        <is>
          <t>Price (INR)</t>
        </is>
      </c>
      <c r="D4" s="4" t="inlineStr">
        <is>
          <t>Effective / Mo</t>
        </is>
      </c>
      <c r="E4" s="4" t="inlineStr">
        <is>
          <t>Var Cost / Mo</t>
        </is>
      </c>
      <c r="F4" s="4" t="inlineStr">
        <is>
          <t>Unit Contribution</t>
        </is>
      </c>
      <c r="G4" s="4" t="inlineStr">
        <is>
          <t>Margin %</t>
        </is>
      </c>
      <c r="H4" s="4" t="inlineStr">
        <is>
          <t>Annual Value</t>
        </is>
      </c>
    </row>
    <row r="5">
      <c r="A5" s="5" t="inlineStr">
        <is>
          <t>Silver Monthly</t>
        </is>
      </c>
      <c r="B5" s="5" t="inlineStr">
        <is>
          <t>Monthly</t>
        </is>
      </c>
      <c r="C5" s="6" t="n">
        <v>899</v>
      </c>
      <c r="D5" s="6">
        <f>C5</f>
        <v/>
      </c>
      <c r="E5" s="6" t="n">
        <v>145</v>
      </c>
      <c r="F5" s="6">
        <f>D5-E5</f>
        <v/>
      </c>
      <c r="G5" s="7">
        <f>F5/D5</f>
        <v/>
      </c>
      <c r="H5" s="6">
        <f>D5*12</f>
        <v/>
      </c>
    </row>
    <row r="6">
      <c r="A6" s="5" t="inlineStr">
        <is>
          <t>Silver Quarterly</t>
        </is>
      </c>
      <c r="B6" s="5" t="inlineStr">
        <is>
          <t>Quarterly</t>
        </is>
      </c>
      <c r="C6" s="6" t="n">
        <v>2499</v>
      </c>
      <c r="D6" s="6">
        <f>C6/3</f>
        <v/>
      </c>
      <c r="E6" s="6" t="n">
        <v>145</v>
      </c>
      <c r="F6" s="6">
        <f>D6-E6</f>
        <v/>
      </c>
      <c r="G6" s="7">
        <f>F6/D6</f>
        <v/>
      </c>
      <c r="H6" s="6">
        <f>D6*12</f>
        <v/>
      </c>
    </row>
    <row r="7">
      <c r="A7" s="5" t="inlineStr">
        <is>
          <t>Silver Annual</t>
        </is>
      </c>
      <c r="B7" s="5" t="inlineStr">
        <is>
          <t>Annual</t>
        </is>
      </c>
      <c r="C7" s="6" t="n">
        <v>8499</v>
      </c>
      <c r="D7" s="6">
        <f>C7/12</f>
        <v/>
      </c>
      <c r="E7" s="6" t="n">
        <v>145</v>
      </c>
      <c r="F7" s="6">
        <f>D7-E7</f>
        <v/>
      </c>
      <c r="G7" s="7">
        <f>F7/D7</f>
        <v/>
      </c>
      <c r="H7" s="6">
        <f>C7</f>
        <v/>
      </c>
    </row>
    <row r="8">
      <c r="A8" s="5" t="inlineStr">
        <is>
          <t>Gold Quarterly</t>
        </is>
      </c>
      <c r="B8" s="5" t="inlineStr">
        <is>
          <t>Quarterly</t>
        </is>
      </c>
      <c r="C8" s="6" t="n">
        <v>4999</v>
      </c>
      <c r="D8" s="6">
        <f>C8/3</f>
        <v/>
      </c>
      <c r="E8" s="6" t="n">
        <v>220</v>
      </c>
      <c r="F8" s="6">
        <f>D8-E8</f>
        <v/>
      </c>
      <c r="G8" s="7">
        <f>F8/D8</f>
        <v/>
      </c>
      <c r="H8" s="6">
        <f>D8*12</f>
        <v/>
      </c>
    </row>
    <row r="9">
      <c r="A9" s="5" t="inlineStr">
        <is>
          <t>Gold Annual</t>
        </is>
      </c>
      <c r="B9" s="5" t="inlineStr">
        <is>
          <t>Annual</t>
        </is>
      </c>
      <c r="C9" s="6" t="n">
        <v>13999</v>
      </c>
      <c r="D9" s="6">
        <f>C9/12</f>
        <v/>
      </c>
      <c r="E9" s="6" t="n">
        <v>220</v>
      </c>
      <c r="F9" s="6">
        <f>D9-E9</f>
        <v/>
      </c>
      <c r="G9" s="7">
        <f>F9/D9</f>
        <v/>
      </c>
      <c r="H9" s="6">
        <f>C9</f>
        <v/>
      </c>
    </row>
    <row r="10"/>
    <row r="11">
      <c r="A11" s="8" t="inlineStr">
        <is>
          <t>Variable Cost Breakdown per Active Customer (Silver Plan)</t>
        </is>
      </c>
    </row>
    <row r="12">
      <c r="A12" s="9" t="inlineStr">
        <is>
          <t>Cost Component</t>
        </is>
      </c>
      <c r="B12" s="9" t="inlineStr">
        <is>
          <t>Specification / Basis</t>
        </is>
      </c>
      <c r="C12" s="9" t="inlineStr">
        <is>
          <t>Monthly Cost (INR)</t>
        </is>
      </c>
      <c r="D12" s="9" t="inlineStr">
        <is>
          <t>Share of Price %</t>
        </is>
      </c>
    </row>
    <row r="13">
      <c r="A13" s="5" t="inlineStr">
        <is>
          <t>AWS Compute Allocation</t>
        </is>
      </c>
      <c r="B13" s="5" t="inlineStr">
        <is>
          <t>Shared ECS Fargate container pod (30-50 tenants)</t>
        </is>
      </c>
      <c r="C13" s="6" t="n">
        <v>45</v>
      </c>
      <c r="D13" s="7">
        <f>C13/899</f>
        <v/>
      </c>
    </row>
    <row r="14">
      <c r="A14" s="5" t="inlineStr">
        <is>
          <t>Gemini AI OCR Extraction</t>
        </is>
      </c>
      <c r="B14" s="5" t="inlineStr">
        <is>
          <t>Google Gemini 1.5 Flash tokens for 50-100 invoices</t>
        </is>
      </c>
      <c r="C14" s="6" t="n">
        <v>30</v>
      </c>
      <c r="D14" s="7">
        <f>C14/899</f>
        <v/>
      </c>
    </row>
    <row r="15">
      <c r="A15" s="5" t="inlineStr">
        <is>
          <t>Amazon SES Email Dispatch</t>
        </is>
      </c>
      <c r="B15" s="5" t="inlineStr">
        <is>
          <t>Transactional collection notices with DKIM (~100 emails)</t>
        </is>
      </c>
      <c r="C15" s="6" t="n">
        <v>10</v>
      </c>
      <c r="D15" s="7">
        <f>C15/899</f>
        <v/>
      </c>
    </row>
    <row r="16">
      <c r="A16" s="5" t="inlineStr">
        <is>
          <t>Payment Gateway Fee</t>
        </is>
      </c>
      <c r="B16" s="5" t="inlineStr">
        <is>
          <t>Razorpay / Cashfree digital checkout (~2% transaction fee)</t>
        </is>
      </c>
      <c r="C16" s="6" t="n">
        <v>18</v>
      </c>
      <c r="D16" s="7">
        <f>C16/899</f>
        <v/>
      </c>
    </row>
    <row r="17">
      <c r="A17" s="5" t="inlineStr">
        <is>
          <t>Customer Ops &amp; Support</t>
        </is>
      </c>
      <c r="B17" s="5" t="inlineStr">
        <is>
          <t>Onboarding guides &amp; ticket triage buffer</t>
        </is>
      </c>
      <c r="C17" s="6" t="n">
        <v>42</v>
      </c>
      <c r="D17" s="7">
        <f>C17/899</f>
        <v/>
      </c>
    </row>
    <row r="18">
      <c r="A18" s="10" t="inlineStr">
        <is>
          <t>Total Variable Cost</t>
        </is>
      </c>
      <c r="B18" s="11" t="inlineStr">
        <is>
          <t>Sum of direct servicing costs</t>
        </is>
      </c>
      <c r="C18" s="12">
        <f>SUM(C13:C17)</f>
        <v/>
      </c>
      <c r="D18" s="13">
        <f>C18/899</f>
        <v/>
      </c>
    </row>
    <row r="19"/>
    <row r="20">
      <c r="A20" s="8" t="inlineStr">
        <is>
          <t>Fixed Cost Scenarios &amp; Break-Even Analysis</t>
        </is>
      </c>
    </row>
    <row r="21">
      <c r="A21" s="9" t="inlineStr">
        <is>
          <t>Scenario</t>
        </is>
      </c>
      <c r="B21" s="9" t="inlineStr">
        <is>
          <t>Team Composition</t>
        </is>
      </c>
      <c r="C21" s="9" t="inlineStr">
        <is>
          <t>Monthly Fixed Cost</t>
        </is>
      </c>
      <c r="D21" s="9" t="inlineStr">
        <is>
          <t>Direct Break-Even (Customers)</t>
        </is>
      </c>
      <c r="E21" s="9" t="inlineStr">
        <is>
          <t>With 20% CA Referral Fee</t>
        </is>
      </c>
      <c r="F21" s="9" t="inlineStr">
        <is>
          <t>Margin of Safety (Yr 1-3)</t>
        </is>
      </c>
    </row>
    <row r="22">
      <c r="A22" s="5" t="inlineStr">
        <is>
          <t>Lean Team</t>
        </is>
      </c>
      <c r="B22" s="5" t="inlineStr">
        <is>
          <t>Founders only (dev + sales)</t>
        </is>
      </c>
      <c r="C22" s="6" t="n">
        <v>150000</v>
      </c>
      <c r="D22" s="14">
        <f>ROUNDUP(C22/754, 0)</f>
        <v/>
      </c>
      <c r="E22" s="14" t="n">
        <v>230</v>
      </c>
      <c r="F22" s="5" t="inlineStr">
        <is>
          <t>65.0%</t>
        </is>
      </c>
    </row>
    <row r="23">
      <c r="A23" s="5" t="inlineStr">
        <is>
          <t>Average Team</t>
        </is>
      </c>
      <c r="B23" s="5" t="inlineStr">
        <is>
          <t>Founders + 3 engineers/ops</t>
        </is>
      </c>
      <c r="C23" s="6" t="n">
        <v>625000</v>
      </c>
      <c r="D23" s="14">
        <f>ROUNDUP(C23/754, 0)</f>
        <v/>
      </c>
      <c r="E23" s="14" t="n">
        <v>990</v>
      </c>
      <c r="F23" s="5" t="inlineStr">
        <is>
          <t>74.0%</t>
        </is>
      </c>
    </row>
    <row r="24">
      <c r="A24" s="5" t="inlineStr">
        <is>
          <t>High-End Team</t>
        </is>
      </c>
      <c r="B24" s="5" t="inlineStr">
        <is>
          <t>Full engineering, sales &amp; marketing</t>
        </is>
      </c>
      <c r="C24" s="6" t="n">
        <v>1430000</v>
      </c>
      <c r="D24" s="14">
        <f>ROUNDUP(C24/754, 0)</f>
        <v/>
      </c>
      <c r="E24" s="14" t="n">
        <v>2260</v>
      </c>
      <c r="F24" s="5" t="inlineStr">
        <is>
          <t>80.0%</t>
        </is>
      </c>
    </row>
  </sheetData>
  <mergeCells count="2">
    <mergeCell ref="A20:F20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44" customWidth="1" min="2" max="2"/>
    <col width="32" customWidth="1" min="3" max="3"/>
    <col width="32" customWidth="1" min="4" max="4"/>
    <col width="22" customWidth="1" min="5" max="5"/>
    <col width="22" customWidth="1" min="6" max="6"/>
  </cols>
  <sheetData>
    <row r="1">
      <c r="A1" s="1" t="inlineStr">
        <is>
          <t>Hisaabset (LedgerLoop) — AWS Cloud Infrastructure Cost Model</t>
        </is>
      </c>
    </row>
    <row r="2">
      <c r="A2" s="2" t="inlineStr">
        <is>
          <t>Region: ap-south-1 (Mumbai) | 24/7 Serverless Container Architecture</t>
        </is>
      </c>
    </row>
    <row r="3"/>
    <row r="4">
      <c r="A4" s="3" t="inlineStr">
        <is>
          <t>AWS Service</t>
        </is>
      </c>
      <c r="B4" s="3" t="inlineStr">
        <is>
          <t>Resource Specification</t>
        </is>
      </c>
      <c r="C4" s="4" t="inlineStr">
        <is>
          <t>Unit Rate</t>
        </is>
      </c>
      <c r="D4" s="4" t="inlineStr">
        <is>
          <t>Monthly Usage</t>
        </is>
      </c>
      <c r="E4" s="4" t="inlineStr">
        <is>
          <t>Monthly Cost (USD)</t>
        </is>
      </c>
      <c r="F4" s="4" t="inlineStr">
        <is>
          <t>Monthly Cost (INR)</t>
        </is>
      </c>
    </row>
    <row r="5">
      <c r="A5" s="5" t="inlineStr">
        <is>
          <t>AWS ECS Fargate vCPU</t>
        </is>
      </c>
      <c r="B5" s="5" t="inlineStr">
        <is>
          <t>0.5 vCPU serverless container task</t>
        </is>
      </c>
      <c r="C5" s="5" t="inlineStr">
        <is>
          <t>$0.04048 / vCPU-hr</t>
        </is>
      </c>
      <c r="D5" s="5" t="inlineStr">
        <is>
          <t>365 vCPU-hrs (730 hrs * 0.5)</t>
        </is>
      </c>
      <c r="E5" s="15" t="n">
        <v>14.78</v>
      </c>
      <c r="F5" s="6">
        <f>E5*83</f>
        <v/>
      </c>
    </row>
    <row r="6">
      <c r="A6" s="5" t="inlineStr">
        <is>
          <t>AWS ECS Fargate Memory</t>
        </is>
      </c>
      <c r="B6" s="5" t="inlineStr">
        <is>
          <t>1.0 GB RAM allocated to task</t>
        </is>
      </c>
      <c r="C6" s="5" t="inlineStr">
        <is>
          <t>$0.004445 / GB-hr</t>
        </is>
      </c>
      <c r="D6" s="5" t="inlineStr">
        <is>
          <t>730 GB-hrs</t>
        </is>
      </c>
      <c r="E6" s="15" t="n">
        <v>3.25</v>
      </c>
      <c r="F6" s="6">
        <f>E6*83</f>
        <v/>
      </c>
    </row>
    <row r="7">
      <c r="A7" s="5" t="inlineStr">
        <is>
          <t>AWS ECR Container Registry</t>
        </is>
      </c>
      <c r="B7" s="5" t="inlineStr">
        <is>
          <t>Private Docker image storage</t>
        </is>
      </c>
      <c r="C7" s="5" t="inlineStr">
        <is>
          <t>$0.10 / GB-mo</t>
        </is>
      </c>
      <c r="D7" s="5" t="inlineStr">
        <is>
          <t>2.0 GB image</t>
        </is>
      </c>
      <c r="E7" s="15" t="n">
        <v>0.2</v>
      </c>
      <c r="F7" s="6">
        <f>E7*83</f>
        <v/>
      </c>
    </row>
    <row r="8">
      <c r="A8" s="5" t="inlineStr">
        <is>
          <t>Amazon Simple Email Service (SES)</t>
        </is>
      </c>
      <c r="B8" s="5" t="inlineStr">
        <is>
          <t>Transactional collection notice dispatch</t>
        </is>
      </c>
      <c r="C8" s="5" t="inlineStr">
        <is>
          <t>$0.10 / 1,000 emails</t>
        </is>
      </c>
      <c r="D8" s="5" t="inlineStr">
        <is>
          <t>2,500 emails / mo</t>
        </is>
      </c>
      <c r="E8" s="15" t="n">
        <v>0.25</v>
      </c>
      <c r="F8" s="6">
        <f>E8*83</f>
        <v/>
      </c>
    </row>
    <row r="9">
      <c r="A9" s="5" t="inlineStr">
        <is>
          <t>Amazon CloudWatch Logs</t>
        </is>
      </c>
      <c r="B9" s="5" t="inlineStr">
        <is>
          <t>Container logs &amp; health telemetry</t>
        </is>
      </c>
      <c r="C9" s="5" t="inlineStr">
        <is>
          <t>$0.50 / GB ingested</t>
        </is>
      </c>
      <c r="D9" s="5" t="inlineStr">
        <is>
          <t>5.0 GB log stream</t>
        </is>
      </c>
      <c r="E9" s="15" t="n">
        <v>2.68</v>
      </c>
      <c r="F9" s="6">
        <f>E9*83</f>
        <v/>
      </c>
    </row>
    <row r="10">
      <c r="A10" s="5" t="inlineStr">
        <is>
          <t>AWS VPC &amp; Data Transfer Out</t>
        </is>
      </c>
      <c r="B10" s="5" t="inlineStr">
        <is>
          <t>Outbound web application traffic</t>
        </is>
      </c>
      <c r="C10" s="5" t="inlineStr">
        <is>
          <t>$0.09 / GB after 100 GB free</t>
        </is>
      </c>
      <c r="D10" s="5" t="inlineStr">
        <is>
          <t>~10 GB egress</t>
        </is>
      </c>
      <c r="E10" s="15" t="n">
        <v>1</v>
      </c>
      <c r="F10" s="6">
        <f>E10*83</f>
        <v/>
      </c>
    </row>
    <row r="11">
      <c r="A11" s="10" t="inlineStr">
        <is>
          <t>TOTAL AWS CLOUD TCO</t>
        </is>
      </c>
      <c r="B11" s="10" t="inlineStr">
        <is>
          <t>24/7 Continuous Base Container Pod</t>
        </is>
      </c>
      <c r="C11" s="11" t="inlineStr">
        <is>
          <t>USD / INR @ 83.0</t>
        </is>
      </c>
      <c r="D11" s="11" t="inlineStr">
        <is>
          <t>730 Hours Continuous</t>
        </is>
      </c>
      <c r="E11" s="16">
        <f>SUM(E5:E10)</f>
        <v/>
      </c>
      <c r="F11" s="12">
        <f>SUM(F5:F10)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3" customWidth="1" min="2" max="2"/>
    <col width="66" customWidth="1" min="3" max="3"/>
    <col width="24" customWidth="1" min="4" max="4"/>
    <col width="21" customWidth="1" min="5" max="5"/>
    <col width="20" customWidth="1" min="6" max="6"/>
    <col width="22" customWidth="1" min="7" max="7"/>
  </cols>
  <sheetData>
    <row r="1">
      <c r="A1" s="1" t="inlineStr">
        <is>
          <t>Hisaabset (LedgerLoop) — 30-Day Go-To-Market Proof Sprint</t>
        </is>
      </c>
    </row>
    <row r="2">
      <c r="A2" s="2" t="inlineStr">
        <is>
          <t>Target: 20 Paying Customers | CAC &lt; ₹3,000 | Blended Billing ₹1.0 Lakh+</t>
        </is>
      </c>
    </row>
    <row r="3"/>
    <row r="4">
      <c r="A4" s="3" t="inlineStr">
        <is>
          <t>Sprint Week</t>
        </is>
      </c>
      <c r="B4" s="3" t="inlineStr">
        <is>
          <t>Strategic Objective</t>
        </is>
      </c>
      <c r="C4" s="3" t="inlineStr">
        <is>
          <t>Primary Channels &amp; Moves</t>
        </is>
      </c>
      <c r="D4" s="4" t="inlineStr">
        <is>
          <t>Target Conversations</t>
        </is>
      </c>
      <c r="E4" s="4" t="inlineStr">
        <is>
          <t>Waitlist / Trials</t>
        </is>
      </c>
      <c r="F4" s="4" t="inlineStr">
        <is>
          <t>Paid Conversions</t>
        </is>
      </c>
      <c r="G4" s="4" t="inlineStr">
        <is>
          <t>Cumulative Revenue</t>
        </is>
      </c>
    </row>
    <row r="5">
      <c r="A5" s="5" t="inlineStr">
        <is>
          <t>Week 1: Prove &amp; Prepare</t>
        </is>
      </c>
      <c r="B5" s="5" t="inlineStr">
        <is>
          <t>20 customer interviews, landing page &amp; late-payment calculator</t>
        </is>
      </c>
      <c r="C5" s="5" t="inlineStr">
        <is>
          <t>Direct founder outreach to local FMCG distributors</t>
        </is>
      </c>
      <c r="D5" s="14" t="n">
        <v>20</v>
      </c>
      <c r="E5" s="14" t="n">
        <v>30</v>
      </c>
      <c r="F5" s="14" t="n">
        <v>2</v>
      </c>
      <c r="G5" s="5" t="inlineStr">
        <is>
          <t>₹17,000</t>
        </is>
      </c>
    </row>
    <row r="6">
      <c r="A6" s="5" t="inlineStr">
        <is>
          <t>Week 2: Seed with Trust</t>
        </is>
      </c>
      <c r="B6" s="5" t="inlineStr">
        <is>
          <t>Partner onboarding &amp; CA referral network launch (15% referral fee)</t>
        </is>
      </c>
      <c r="C6" s="5" t="inlineStr">
        <is>
          <t>Pitch 10 CAs, LinkedIn post series on MSME 45-day payment rule</t>
        </is>
      </c>
      <c r="D6" s="14" t="n">
        <v>15</v>
      </c>
      <c r="E6" s="14" t="n">
        <v>45</v>
      </c>
      <c r="F6" s="14" t="n">
        <v>5</v>
      </c>
      <c r="G6" s="5" t="inlineStr">
        <is>
          <t>₹42,500</t>
        </is>
      </c>
    </row>
    <row r="7">
      <c r="A7" s="5" t="inlineStr">
        <is>
          <t>Week 3: Public Launch</t>
        </is>
      </c>
      <c r="B7" s="5" t="inlineStr">
        <is>
          <t>Founding offer launch: first 100 get price locked for 2 years</t>
        </is>
      </c>
      <c r="C7" s="5" t="inlineStr">
        <is>
          <t>IndiaMART banner, LinkedIn demo video, WhatsApp community demo</t>
        </is>
      </c>
      <c r="D7" s="14" t="n">
        <v>15</v>
      </c>
      <c r="E7" s="14" t="n">
        <v>40</v>
      </c>
      <c r="F7" s="14" t="n">
        <v>6</v>
      </c>
      <c r="G7" s="5" t="inlineStr">
        <is>
          <t>₹76,500</t>
        </is>
      </c>
    </row>
    <row r="8">
      <c r="A8" s="5" t="inlineStr">
        <is>
          <t>Week 4: Convert &amp; Scale</t>
        </is>
      </c>
      <c r="B8" s="5" t="inlineStr">
        <is>
          <t>Free overdue invoice audit offer, daily follow-ups with warmest leads</t>
        </is>
      </c>
      <c r="C8" s="5" t="inlineStr">
        <is>
          <t>Follow up 150 trials, test annual vs quarterly plan mix</t>
        </is>
      </c>
      <c r="D8" s="14" t="n">
        <v>10</v>
      </c>
      <c r="E8" s="14" t="n">
        <v>35</v>
      </c>
      <c r="F8" s="14" t="n">
        <v>7</v>
      </c>
      <c r="G8" s="5" t="inlineStr">
        <is>
          <t>₹1,10,000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2026-10-18T14:53:57Z</dcterms:created>
  <dcterms:modified xmlns:dcterms="http://purl.org/dc/terms/" xmlns:xsi="http://www.w3.org/2001/XMLSchema-instance" xsi:type="dcterms:W3CDTF">2026-10-18T14:53:57Z</dcterms:modified>
</cp:coreProperties>
</file>